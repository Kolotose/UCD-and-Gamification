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ідповіді форми (1)" sheetId="1" r:id="rId4"/>
    <sheet state="visible" name="SUS Calculaion" sheetId="2" r:id="rId5"/>
  </sheets>
  <definedNames/>
  <calcPr/>
</workbook>
</file>

<file path=xl/sharedStrings.xml><?xml version="1.0" encoding="utf-8"?>
<sst xmlns="http://schemas.openxmlformats.org/spreadsheetml/2006/main" count="41" uniqueCount="41">
  <si>
    <t>Позначка часу</t>
  </si>
  <si>
    <t>Я думаю, я часто використовував/використовувала би цей додаток</t>
  </si>
  <si>
    <t>Я вважаю цей додаток надміру складним</t>
  </si>
  <si>
    <t>Я думаю,  що цей додаток простий у використанні</t>
  </si>
  <si>
    <t>Я думаю, мені буде потрібна допомога технічної особи, щоб мати можливість використовувати цей додаток</t>
  </si>
  <si>
    <t>Я виявив/виявила, що різні функції в цьому додатку добре реалізовані</t>
  </si>
  <si>
    <t>Я думаю, що в цьому додатку забагато суперечностей</t>
  </si>
  <si>
    <t xml:space="preserve">Я думаю, що більшість людей дуже швидко навчиться користуватися цим додатком </t>
  </si>
  <si>
    <t>Я вважаю цей додаток дуже громіздким у використанні</t>
  </si>
  <si>
    <t>Я почувався/почувалася дуже впевнено при використанні цього додатку</t>
  </si>
  <si>
    <t>Мені б знадобилося багато чого навчитися перед тим, як я зможу почати використовувати цей додаток</t>
  </si>
  <si>
    <t>Чи є у тебе коментарі стосовно додатку або досвіду його використання?</t>
  </si>
  <si>
    <t>Користувалася б, бо любить гейміфікацію повсякденності. Але потрібне комʼюніті та конкурентноспроможність (Полюбе поставила б смітник біля бранденбурзьких воріт). (Сприймає додаток як чисто туристичний)</t>
  </si>
  <si>
    <t>Немає</t>
  </si>
  <si>
    <t>Нада донат</t>
  </si>
  <si>
    <t xml:space="preserve">прикольно і потенційно! про недоліки я говорила очно </t>
  </si>
  <si>
    <t>Respondent</t>
  </si>
  <si>
    <t>Question 1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</si>
  <si>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</si>
  <si>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</si>
  <si>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</si>
  <si>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</si>
  <si>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</si>
  <si>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</si>
  <si>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</si>
  <si>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</si>
  <si>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</si>
  <si>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SUS normalized</t>
  </si>
  <si>
    <t>Standart Deviation Calculation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</si>
  <si>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</si>
  <si>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</si>
  <si>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</si>
  <si>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</si>
  <si>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</si>
  <si>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</si>
  <si>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</si>
  <si>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</si>
  <si>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</si>
  <si>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</si>
  <si>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SUS Mean</t>
  </si>
  <si>
    <t>Standart Deviation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</si>
</sst>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</fills>
  <borders count="28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284E3F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13" fillId="0" fontId="1" numFmtId="0" xfId="0" applyAlignment="1" applyBorder="1" applyFont="1">
      <alignment horizontal="left" readingOrder="0" shrinkToFit="0" vertical="center" wrapText="0"/>
    </xf>
    <xf borderId="14" fillId="0" fontId="1" numFmtId="0" xfId="0" applyAlignment="1" applyBorder="1" applyFont="1">
      <alignment horizontal="left" readingOrder="0" shrinkToFit="0" vertical="center" wrapText="0"/>
    </xf>
    <xf borderId="15" fillId="0" fontId="1" numFmtId="0" xfId="0" applyAlignment="1" applyBorder="1" applyFont="1">
      <alignment horizontal="left" readingOrder="0" shrinkToFit="0" vertical="center" wrapText="0"/>
    </xf>
    <xf borderId="15" fillId="2" fontId="1" numFmtId="0" xfId="0" applyAlignment="1" applyBorder="1" applyFill="1" applyFont="1">
      <alignment horizontal="left" readingOrder="0" shrinkToFit="0" vertical="center" wrapText="0"/>
    </xf>
    <xf borderId="16" fillId="0" fontId="1" numFmtId="0" xfId="0" applyAlignment="1" applyBorder="1" applyFont="1">
      <alignment readingOrder="0" shrinkToFit="0" vertical="center" wrapText="0"/>
    </xf>
    <xf borderId="17" fillId="0" fontId="1" numFmtId="0" xfId="0" applyAlignment="1" applyBorder="1" applyFont="1">
      <alignment shrinkToFit="0" vertical="center" wrapText="0"/>
    </xf>
    <xf borderId="16" fillId="0" fontId="1" numFmtId="0" xfId="0" applyAlignment="1" applyBorder="1" applyFont="1">
      <alignment shrinkToFit="0" vertical="center" wrapText="0"/>
    </xf>
    <xf borderId="18" fillId="0" fontId="1" numFmtId="0" xfId="0" applyAlignment="1" applyBorder="1" applyFont="1">
      <alignment shrinkToFit="0" vertical="center" wrapText="0"/>
    </xf>
    <xf borderId="19" fillId="0" fontId="1" numFmtId="0" xfId="0" applyAlignment="1" applyBorder="1" applyFont="1">
      <alignment readingOrder="0" shrinkToFit="0" vertical="center" wrapText="0"/>
    </xf>
    <xf borderId="20" fillId="0" fontId="1" numFmtId="0" xfId="0" applyAlignment="1" applyBorder="1" applyFont="1">
      <alignment shrinkToFit="0" vertical="center" wrapText="0"/>
    </xf>
    <xf borderId="19" fillId="0" fontId="1" numFmtId="0" xfId="0" applyAlignment="1" applyBorder="1" applyFont="1">
      <alignment shrinkToFit="0" vertical="center" wrapText="0"/>
    </xf>
    <xf borderId="19" fillId="0" fontId="1" numFmtId="0" xfId="0" applyAlignment="1" applyBorder="1" applyFont="1">
      <alignment shrinkToFit="0" vertical="center" wrapText="0"/>
    </xf>
    <xf borderId="18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18" fillId="0" fontId="1" numFmtId="0" xfId="0" applyAlignment="1" applyBorder="1" applyFont="1">
      <alignment shrinkToFit="0" vertical="center" wrapText="0"/>
    </xf>
    <xf borderId="21" fillId="0" fontId="1" numFmtId="0" xfId="0" applyAlignment="1" applyBorder="1" applyFont="1">
      <alignment readingOrder="0" shrinkToFit="0" vertical="center" wrapText="0"/>
    </xf>
    <xf borderId="22" fillId="0" fontId="1" numFmtId="0" xfId="0" applyAlignment="1" applyBorder="1" applyFont="1">
      <alignment shrinkToFit="0" vertical="center" wrapText="0"/>
    </xf>
    <xf borderId="21" fillId="0" fontId="1" numFmtId="0" xfId="0" applyAlignment="1" applyBorder="1" applyFont="1">
      <alignment shrinkToFit="0" vertical="center" wrapText="0"/>
    </xf>
    <xf borderId="23" fillId="0" fontId="1" numFmtId="0" xfId="0" applyAlignment="1" applyBorder="1" applyFont="1">
      <alignment shrinkToFit="0" vertical="center" wrapText="0"/>
    </xf>
    <xf borderId="24" fillId="0" fontId="1" numFmtId="0" xfId="0" applyAlignment="1" applyBorder="1" applyFont="1">
      <alignment readingOrder="0"/>
    </xf>
    <xf borderId="25" fillId="0" fontId="1" numFmtId="0" xfId="0" applyBorder="1" applyFont="1"/>
    <xf borderId="26" fillId="0" fontId="1" numFmtId="0" xfId="0" applyAlignment="1" applyBorder="1" applyFont="1">
      <alignment readingOrder="0"/>
    </xf>
    <xf borderId="27" fillId="0" fontId="1" numFmtId="2" xfId="0" applyBorder="1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Відповіді форми (1)-style">
      <tableStyleElement dxfId="1" type="headerRow"/>
      <tableStyleElement dxfId="2" type="firstRowStripe"/>
      <tableStyleElement dxfId="3" type="secondRowStripe"/>
    </tableStyle>
    <tableStyle count="3" pivot="0" name="SUS Calculaion-style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11" displayName="Form_Responses1" name="Form_Responses1" id="1">
  <tableColumns count="12">
    <tableColumn name="Позначка часу" id="1"/>
    <tableColumn name="Я думаю, я часто використовував/використовувала би цей додаток" id="2"/>
    <tableColumn name="Я вважаю цей додаток надміру складним" id="3"/>
    <tableColumn name="Я думаю,  що цей додаток простий у використанні" id="4"/>
    <tableColumn name="Я думаю, мені буде потрібна допомога технічної особи, щоб мати можливість використовувати цей додаток" id="5"/>
    <tableColumn name="Я виявив/виявила, що різні функції в цьому додатку добре реалізовані" id="6"/>
    <tableColumn name="Я думаю, що в цьому додатку забагато суперечностей" id="7"/>
    <tableColumn name="Я думаю, що більшість людей дуже швидко навчиться користуватися цим додатком " id="8"/>
    <tableColumn name="Я вважаю цей додаток дуже громіздким у використанні" id="9"/>
    <tableColumn name="Я почувався/почувалася дуже впевнено при використанні цього додатку" id="10"/>
    <tableColumn name="Мені б знадобилося багато чого навчитися перед тим, як я зможу почати використовувати цей додаток" id="11"/>
    <tableColumn name="Чи є у тебе коментарі стосовно додатку або досвіду його використання?" id="12"/>
  </tableColumns>
  <tableStyleInfo name="Відповіді форми (1)-style" showColumnStripes="0" showFirstColumn="1" showLastColumn="1" showRowStripes="1"/>
</table>
</file>

<file path=xl/tables/table2.xml><?xml version="1.0" encoding="utf-8"?>
<table xmlns="http://schemas.openxmlformats.org/spreadsheetml/2006/main" ref="A1:M11" displayName="Таблиця1" name="Таблиця1" id="2">
  <tableColumns count="13">
    <tableColumn name="Respondent" id="1"/>
    <tableColumn name="Question 1" id="2"/>
    <tableColumn name="Question 2" id="3"/>
    <tableColumn name="Question 3" id="4"/>
    <tableColumn name="Question 4" id="5"/>
    <tableColumn name="Question 5" id="6"/>
    <tableColumn name="Question 6" id="7"/>
    <tableColumn name="Question 7" id="8"/>
    <tableColumn name="Question 8" id="9"/>
    <tableColumn name="Question 9" id="10"/>
    <tableColumn name="Question 10" id="11"/>
    <tableColumn name="SUS normalized" id="12"/>
    <tableColumn name="Standart Deviation Calculation" id="13"/>
  </tableColumns>
  <tableStyleInfo name="SUS Calcula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37.38"/>
    <col customWidth="1" min="4" max="12" width="37.63"/>
    <col customWidth="1" min="13" max="18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4" t="s">
        <v>11</v>
      </c>
    </row>
    <row r="2">
      <c r="A2" s="5">
        <v>45771.51434524306</v>
      </c>
      <c r="B2" s="6">
        <v>4.0</v>
      </c>
      <c r="C2" s="6">
        <v>1.0</v>
      </c>
      <c r="D2" s="6">
        <v>5.0</v>
      </c>
      <c r="E2" s="6">
        <v>1.0</v>
      </c>
      <c r="F2" s="6">
        <v>5.0</v>
      </c>
      <c r="G2" s="6">
        <v>1.0</v>
      </c>
      <c r="H2" s="6">
        <v>5.0</v>
      </c>
      <c r="I2" s="6">
        <v>3.0</v>
      </c>
      <c r="J2" s="6">
        <v>4.0</v>
      </c>
      <c r="K2" s="6">
        <v>2.0</v>
      </c>
      <c r="L2" s="7" t="s">
        <v>12</v>
      </c>
    </row>
    <row r="3">
      <c r="A3" s="8">
        <v>45771.620277187496</v>
      </c>
      <c r="B3" s="9">
        <v>4.0</v>
      </c>
      <c r="C3" s="9">
        <v>1.0</v>
      </c>
      <c r="D3" s="9">
        <v>5.0</v>
      </c>
      <c r="E3" s="9">
        <v>1.0</v>
      </c>
      <c r="F3" s="9">
        <v>4.0</v>
      </c>
      <c r="G3" s="9">
        <v>1.0</v>
      </c>
      <c r="H3" s="9">
        <v>4.0</v>
      </c>
      <c r="I3" s="9">
        <v>1.0</v>
      </c>
      <c r="J3" s="9">
        <v>5.0</v>
      </c>
      <c r="K3" s="9">
        <v>1.0</v>
      </c>
    </row>
    <row r="4">
      <c r="A4" s="10">
        <v>45771.66531871528</v>
      </c>
      <c r="B4" s="11">
        <v>4.0</v>
      </c>
      <c r="C4" s="11">
        <v>1.0</v>
      </c>
      <c r="D4" s="11">
        <v>5.0</v>
      </c>
      <c r="E4" s="11">
        <v>1.0</v>
      </c>
      <c r="F4" s="11">
        <v>4.0</v>
      </c>
      <c r="G4" s="11">
        <v>1.0</v>
      </c>
      <c r="H4" s="11">
        <v>5.0</v>
      </c>
      <c r="I4" s="11">
        <v>1.0</v>
      </c>
      <c r="J4" s="11">
        <v>4.0</v>
      </c>
      <c r="K4" s="11">
        <v>1.0</v>
      </c>
    </row>
    <row r="5">
      <c r="A5" s="8">
        <v>45771.784410671295</v>
      </c>
      <c r="B5" s="9">
        <v>2.0</v>
      </c>
      <c r="C5" s="9">
        <v>2.0</v>
      </c>
      <c r="D5" s="9">
        <v>3.0</v>
      </c>
      <c r="E5" s="9">
        <v>1.0</v>
      </c>
      <c r="F5" s="9">
        <v>3.0</v>
      </c>
      <c r="G5" s="9">
        <v>2.0</v>
      </c>
      <c r="H5" s="9">
        <v>4.0</v>
      </c>
      <c r="I5" s="9">
        <v>3.0</v>
      </c>
      <c r="J5" s="9">
        <v>4.0</v>
      </c>
      <c r="K5" s="9">
        <v>2.0</v>
      </c>
      <c r="L5" s="12" t="s">
        <v>13</v>
      </c>
    </row>
    <row r="6">
      <c r="A6" s="10">
        <v>45771.91487060185</v>
      </c>
      <c r="B6" s="11">
        <v>4.0</v>
      </c>
      <c r="C6" s="11">
        <v>2.0</v>
      </c>
      <c r="D6" s="11">
        <v>4.0</v>
      </c>
      <c r="E6" s="11">
        <v>1.0</v>
      </c>
      <c r="F6" s="11">
        <v>4.0</v>
      </c>
      <c r="G6" s="11">
        <v>1.0</v>
      </c>
      <c r="H6" s="11">
        <v>5.0</v>
      </c>
      <c r="I6" s="11">
        <v>1.0</v>
      </c>
      <c r="J6" s="11">
        <v>4.0</v>
      </c>
      <c r="K6" s="11">
        <v>1.0</v>
      </c>
      <c r="L6" s="13" t="s">
        <v>14</v>
      </c>
    </row>
    <row r="7">
      <c r="A7" s="8">
        <v>45772.5190696412</v>
      </c>
      <c r="B7" s="9">
        <v>4.0</v>
      </c>
      <c r="C7" s="9">
        <v>2.0</v>
      </c>
      <c r="D7" s="9">
        <v>4.0</v>
      </c>
      <c r="E7" s="9">
        <v>1.0</v>
      </c>
      <c r="F7" s="9">
        <v>4.0</v>
      </c>
      <c r="G7" s="9">
        <v>1.0</v>
      </c>
      <c r="H7" s="9">
        <v>3.0</v>
      </c>
      <c r="I7" s="9">
        <v>2.0</v>
      </c>
      <c r="J7" s="9">
        <v>4.0</v>
      </c>
      <c r="K7" s="9">
        <v>2.0</v>
      </c>
    </row>
    <row r="8">
      <c r="A8" s="10">
        <v>45772.56815627315</v>
      </c>
      <c r="B8" s="11">
        <v>3.0</v>
      </c>
      <c r="C8" s="11">
        <v>2.0</v>
      </c>
      <c r="D8" s="11">
        <v>5.0</v>
      </c>
      <c r="E8" s="11">
        <v>1.0</v>
      </c>
      <c r="F8" s="11">
        <v>3.0</v>
      </c>
      <c r="G8" s="11">
        <v>1.0</v>
      </c>
      <c r="H8" s="11">
        <v>4.0</v>
      </c>
      <c r="I8" s="11">
        <v>2.0</v>
      </c>
      <c r="J8" s="11">
        <v>4.0</v>
      </c>
      <c r="K8" s="11">
        <v>2.0</v>
      </c>
    </row>
    <row r="9">
      <c r="A9" s="8">
        <v>45772.781655162034</v>
      </c>
      <c r="B9" s="9">
        <v>4.0</v>
      </c>
      <c r="C9" s="9">
        <v>1.0</v>
      </c>
      <c r="D9" s="9">
        <v>4.0</v>
      </c>
      <c r="E9" s="9">
        <v>1.0</v>
      </c>
      <c r="F9" s="9">
        <v>4.0</v>
      </c>
      <c r="G9" s="9">
        <v>1.0</v>
      </c>
      <c r="H9" s="9">
        <v>3.0</v>
      </c>
      <c r="I9" s="9">
        <v>1.0</v>
      </c>
      <c r="J9" s="9">
        <v>4.0</v>
      </c>
      <c r="K9" s="9">
        <v>1.0</v>
      </c>
    </row>
    <row r="10">
      <c r="A10" s="10">
        <v>45772.93812810185</v>
      </c>
      <c r="B10" s="11">
        <v>5.0</v>
      </c>
      <c r="C10" s="11">
        <v>3.0</v>
      </c>
      <c r="D10" s="11">
        <v>4.0</v>
      </c>
      <c r="E10" s="11">
        <v>2.0</v>
      </c>
      <c r="F10" s="11">
        <v>5.0</v>
      </c>
      <c r="G10" s="11">
        <v>1.0</v>
      </c>
      <c r="H10" s="11">
        <v>4.0</v>
      </c>
      <c r="I10" s="11">
        <v>2.0</v>
      </c>
      <c r="J10" s="11">
        <v>4.0</v>
      </c>
      <c r="K10" s="11">
        <v>1.0</v>
      </c>
    </row>
    <row r="11">
      <c r="A11" s="14">
        <v>45773.48980207176</v>
      </c>
      <c r="B11" s="15">
        <v>3.0</v>
      </c>
      <c r="C11" s="15">
        <v>2.0</v>
      </c>
      <c r="D11" s="15">
        <v>4.0</v>
      </c>
      <c r="E11" s="15">
        <v>1.0</v>
      </c>
      <c r="F11" s="15">
        <v>4.0</v>
      </c>
      <c r="G11" s="15">
        <v>1.0</v>
      </c>
      <c r="H11" s="15">
        <v>4.0</v>
      </c>
      <c r="I11" s="15">
        <v>1.0</v>
      </c>
      <c r="J11" s="15">
        <v>3.0</v>
      </c>
      <c r="K11" s="15">
        <v>1.0</v>
      </c>
      <c r="L11" s="16" t="s">
        <v>15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11" width="15.13"/>
    <col customWidth="1" min="12" max="13" width="21.38"/>
  </cols>
  <sheetData>
    <row r="1">
      <c r="A1" s="17" t="s">
        <v>16</v>
      </c>
      <c r="B1" s="18" t="s">
        <v>17</v>
      </c>
      <c r="C1" s="18" t="s">
        <v>18</v>
      </c>
      <c r="D1" s="18" t="s">
        <v>19</v>
      </c>
      <c r="E1" s="18" t="s">
        <v>20</v>
      </c>
      <c r="F1" s="18" t="s">
        <v>21</v>
      </c>
      <c r="G1" s="18" t="s">
        <v>22</v>
      </c>
      <c r="H1" s="18" t="s">
        <v>23</v>
      </c>
      <c r="I1" s="18" t="s">
        <v>24</v>
      </c>
      <c r="J1" s="18" t="s">
        <v>25</v>
      </c>
      <c r="K1" s="18" t="s">
        <v>26</v>
      </c>
      <c r="L1" s="19" t="s">
        <v>27</v>
      </c>
      <c r="M1" s="20" t="s">
        <v>28</v>
      </c>
    </row>
    <row r="2">
      <c r="A2" s="21" t="s">
        <v>29</v>
      </c>
      <c r="B2" s="22">
        <f>'Відповіді форми (1)'!B2-1</f>
        <v>3</v>
      </c>
      <c r="C2" s="22">
        <f>5-'Відповіді форми (1)'!C2</f>
        <v>4</v>
      </c>
      <c r="D2" s="22">
        <f>'Відповіді форми (1)'!D2-1</f>
        <v>4</v>
      </c>
      <c r="E2" s="22">
        <f>5-'Відповіді форми (1)'!E2</f>
        <v>4</v>
      </c>
      <c r="F2" s="22">
        <f>'Відповіді форми (1)'!F2-1</f>
        <v>4</v>
      </c>
      <c r="G2" s="22">
        <f>5-'Відповіді форми (1)'!G2</f>
        <v>4</v>
      </c>
      <c r="H2" s="22">
        <f>'Відповіді форми (1)'!H2-1</f>
        <v>4</v>
      </c>
      <c r="I2" s="22">
        <f>5-'Відповіді форми (1)'!I2</f>
        <v>2</v>
      </c>
      <c r="J2" s="22">
        <f>'Відповіді форми (1)'!J2-1</f>
        <v>3</v>
      </c>
      <c r="K2" s="22">
        <f>5-'Відповіді форми (1)'!K2</f>
        <v>3</v>
      </c>
      <c r="L2" s="23">
        <f t="shared" ref="L2:L11" si="1">SUM(B2:K2)*2.5</f>
        <v>87.5</v>
      </c>
      <c r="M2" s="24">
        <f t="shared" ref="M2:M11" si="2">(L2-$C$13)^2</f>
        <v>22.5625</v>
      </c>
    </row>
    <row r="3">
      <c r="A3" s="25" t="s">
        <v>30</v>
      </c>
      <c r="B3" s="26">
        <f>'Відповіді форми (1)'!B3-1</f>
        <v>3</v>
      </c>
      <c r="C3" s="26">
        <f>5-'Відповіді форми (1)'!C3</f>
        <v>4</v>
      </c>
      <c r="D3" s="26">
        <f>'Відповіді форми (1)'!D3-1</f>
        <v>4</v>
      </c>
      <c r="E3" s="26">
        <f>5-'Відповіді форми (1)'!E3</f>
        <v>4</v>
      </c>
      <c r="F3" s="26">
        <f>'Відповіді форми (1)'!F3-1</f>
        <v>3</v>
      </c>
      <c r="G3" s="26">
        <f>5-'Відповіді форми (1)'!G3</f>
        <v>4</v>
      </c>
      <c r="H3" s="26">
        <f>'Відповіді форми (1)'!H3-1</f>
        <v>3</v>
      </c>
      <c r="I3" s="26">
        <f>5-'Відповіді форми (1)'!I3</f>
        <v>4</v>
      </c>
      <c r="J3" s="26">
        <f>'Відповіді форми (1)'!J3-1</f>
        <v>4</v>
      </c>
      <c r="K3" s="26">
        <f>5-'Відповіді форми (1)'!K3</f>
        <v>4</v>
      </c>
      <c r="L3" s="27">
        <f t="shared" si="1"/>
        <v>92.5</v>
      </c>
      <c r="M3" s="28">
        <f t="shared" si="2"/>
        <v>95.0625</v>
      </c>
    </row>
    <row r="4">
      <c r="A4" s="29" t="s">
        <v>31</v>
      </c>
      <c r="B4" s="30">
        <f>'Відповіді форми (1)'!B4-1</f>
        <v>3</v>
      </c>
      <c r="C4" s="30">
        <f>5-'Відповіді форми (1)'!C4</f>
        <v>4</v>
      </c>
      <c r="D4" s="30">
        <f>'Відповіді форми (1)'!D4-1</f>
        <v>4</v>
      </c>
      <c r="E4" s="30">
        <f>5-'Відповіді форми (1)'!E4</f>
        <v>4</v>
      </c>
      <c r="F4" s="30">
        <f>'Відповіді форми (1)'!F4-1</f>
        <v>3</v>
      </c>
      <c r="G4" s="30">
        <f>5-'Відповіді форми (1)'!G4</f>
        <v>4</v>
      </c>
      <c r="H4" s="30">
        <f>'Відповіді форми (1)'!H4-1</f>
        <v>4</v>
      </c>
      <c r="I4" s="30">
        <f>5-'Відповіді форми (1)'!I4</f>
        <v>4</v>
      </c>
      <c r="J4" s="30">
        <f>'Відповіді форми (1)'!J4-1</f>
        <v>3</v>
      </c>
      <c r="K4" s="30">
        <f>5-'Відповіді форми (1)'!K4</f>
        <v>4</v>
      </c>
      <c r="L4" s="31">
        <f t="shared" si="1"/>
        <v>92.5</v>
      </c>
      <c r="M4" s="24">
        <f t="shared" si="2"/>
        <v>95.0625</v>
      </c>
    </row>
    <row r="5">
      <c r="A5" s="25" t="s">
        <v>32</v>
      </c>
      <c r="B5" s="26">
        <f>'Відповіді форми (1)'!B5-1</f>
        <v>1</v>
      </c>
      <c r="C5" s="26">
        <f>5-'Відповіді форми (1)'!C5</f>
        <v>3</v>
      </c>
      <c r="D5" s="26">
        <f>'Відповіді форми (1)'!D5-1</f>
        <v>2</v>
      </c>
      <c r="E5" s="26">
        <f>5-'Відповіді форми (1)'!E5</f>
        <v>4</v>
      </c>
      <c r="F5" s="26">
        <f>'Відповіді форми (1)'!F5-1</f>
        <v>2</v>
      </c>
      <c r="G5" s="26">
        <f>5-'Відповіді форми (1)'!G5</f>
        <v>3</v>
      </c>
      <c r="H5" s="26">
        <f>'Відповіді форми (1)'!H5-1</f>
        <v>3</v>
      </c>
      <c r="I5" s="26">
        <f>5-'Відповіді форми (1)'!I5</f>
        <v>2</v>
      </c>
      <c r="J5" s="26">
        <f>'Відповіді форми (1)'!J5-1</f>
        <v>3</v>
      </c>
      <c r="K5" s="26">
        <f>5-'Відповіді форми (1)'!K5</f>
        <v>3</v>
      </c>
      <c r="L5" s="27">
        <f t="shared" si="1"/>
        <v>65</v>
      </c>
      <c r="M5" s="28">
        <f t="shared" si="2"/>
        <v>315.0625</v>
      </c>
    </row>
    <row r="6">
      <c r="A6" s="29" t="s">
        <v>33</v>
      </c>
      <c r="B6" s="30">
        <f>'Відповіді форми (1)'!B6-1</f>
        <v>3</v>
      </c>
      <c r="C6" s="30">
        <f>5-'Відповіді форми (1)'!C6</f>
        <v>3</v>
      </c>
      <c r="D6" s="30">
        <f>'Відповіді форми (1)'!D6-1</f>
        <v>3</v>
      </c>
      <c r="E6" s="30">
        <f>5-'Відповіді форми (1)'!E6</f>
        <v>4</v>
      </c>
      <c r="F6" s="30">
        <f>'Відповіді форми (1)'!F6-1</f>
        <v>3</v>
      </c>
      <c r="G6" s="30">
        <f>5-'Відповіді форми (1)'!G6</f>
        <v>4</v>
      </c>
      <c r="H6" s="30">
        <f>'Відповіді форми (1)'!H6-1</f>
        <v>4</v>
      </c>
      <c r="I6" s="30">
        <f>5-'Відповіді форми (1)'!I6</f>
        <v>4</v>
      </c>
      <c r="J6" s="30">
        <f>'Відповіді форми (1)'!J6-1</f>
        <v>3</v>
      </c>
      <c r="K6" s="30">
        <f>5-'Відповіді форми (1)'!K6</f>
        <v>4</v>
      </c>
      <c r="L6" s="31">
        <f t="shared" si="1"/>
        <v>87.5</v>
      </c>
      <c r="M6" s="24">
        <f t="shared" si="2"/>
        <v>22.5625</v>
      </c>
    </row>
    <row r="7">
      <c r="A7" s="25" t="s">
        <v>34</v>
      </c>
      <c r="B7" s="26">
        <f>'Відповіді форми (1)'!B7-1</f>
        <v>3</v>
      </c>
      <c r="C7" s="26">
        <f>5-'Відповіді форми (1)'!C7</f>
        <v>3</v>
      </c>
      <c r="D7" s="26">
        <f>'Відповіді форми (1)'!D7-1</f>
        <v>3</v>
      </c>
      <c r="E7" s="26">
        <f>5-'Відповіді форми (1)'!E7</f>
        <v>4</v>
      </c>
      <c r="F7" s="26">
        <f>'Відповіді форми (1)'!F7-1</f>
        <v>3</v>
      </c>
      <c r="G7" s="26">
        <f>5-'Відповіді форми (1)'!G7</f>
        <v>4</v>
      </c>
      <c r="H7" s="26">
        <f>'Відповіді форми (1)'!H7-1</f>
        <v>2</v>
      </c>
      <c r="I7" s="26">
        <f>5-'Відповіді форми (1)'!I7</f>
        <v>3</v>
      </c>
      <c r="J7" s="26">
        <f>'Відповіді форми (1)'!J7-1</f>
        <v>3</v>
      </c>
      <c r="K7" s="26">
        <f>5-'Відповіді форми (1)'!K7</f>
        <v>3</v>
      </c>
      <c r="L7" s="27">
        <f t="shared" si="1"/>
        <v>77.5</v>
      </c>
      <c r="M7" s="28">
        <f t="shared" si="2"/>
        <v>27.5625</v>
      </c>
    </row>
    <row r="8">
      <c r="A8" s="29" t="s">
        <v>35</v>
      </c>
      <c r="B8" s="30">
        <f>'Відповіді форми (1)'!B8-1</f>
        <v>2</v>
      </c>
      <c r="C8" s="30">
        <f>5-'Відповіді форми (1)'!C8</f>
        <v>3</v>
      </c>
      <c r="D8" s="30">
        <f>'Відповіді форми (1)'!D8-1</f>
        <v>4</v>
      </c>
      <c r="E8" s="30">
        <f>5-'Відповіді форми (1)'!E8</f>
        <v>4</v>
      </c>
      <c r="F8" s="30">
        <f>'Відповіді форми (1)'!F8-1</f>
        <v>2</v>
      </c>
      <c r="G8" s="30">
        <f>5-'Відповіді форми (1)'!G8</f>
        <v>4</v>
      </c>
      <c r="H8" s="30">
        <f>'Відповіді форми (1)'!H8-1</f>
        <v>3</v>
      </c>
      <c r="I8" s="30">
        <f>5-'Відповіді форми (1)'!I8</f>
        <v>3</v>
      </c>
      <c r="J8" s="30">
        <f>'Відповіді форми (1)'!J8-1</f>
        <v>3</v>
      </c>
      <c r="K8" s="30">
        <f>5-'Відповіді форми (1)'!K8</f>
        <v>3</v>
      </c>
      <c r="L8" s="31">
        <f t="shared" si="1"/>
        <v>77.5</v>
      </c>
      <c r="M8" s="24">
        <f t="shared" si="2"/>
        <v>27.5625</v>
      </c>
    </row>
    <row r="9">
      <c r="A9" s="25" t="s">
        <v>36</v>
      </c>
      <c r="B9" s="26">
        <f>'Відповіді форми (1)'!B9-1</f>
        <v>3</v>
      </c>
      <c r="C9" s="26">
        <f>5-'Відповіді форми (1)'!C9</f>
        <v>4</v>
      </c>
      <c r="D9" s="26">
        <f>'Відповіді форми (1)'!D9-1</f>
        <v>3</v>
      </c>
      <c r="E9" s="26">
        <f>5-'Відповіді форми (1)'!E9</f>
        <v>4</v>
      </c>
      <c r="F9" s="26">
        <f>'Відповіді форми (1)'!F9-1</f>
        <v>3</v>
      </c>
      <c r="G9" s="26">
        <f>5-'Відповіді форми (1)'!G9</f>
        <v>4</v>
      </c>
      <c r="H9" s="26">
        <f>'Відповіді форми (1)'!H9-1</f>
        <v>2</v>
      </c>
      <c r="I9" s="26">
        <f>5-'Відповіді форми (1)'!I9</f>
        <v>4</v>
      </c>
      <c r="J9" s="26">
        <f>'Відповіді форми (1)'!J9-1</f>
        <v>3</v>
      </c>
      <c r="K9" s="26">
        <f>5-'Відповіді форми (1)'!K9</f>
        <v>4</v>
      </c>
      <c r="L9" s="27">
        <f t="shared" si="1"/>
        <v>85</v>
      </c>
      <c r="M9" s="28">
        <f t="shared" si="2"/>
        <v>5.0625</v>
      </c>
    </row>
    <row r="10">
      <c r="A10" s="29" t="s">
        <v>37</v>
      </c>
      <c r="B10" s="30">
        <f>'Відповіді форми (1)'!B10-1</f>
        <v>4</v>
      </c>
      <c r="C10" s="30">
        <f>5-'Відповіді форми (1)'!C10</f>
        <v>2</v>
      </c>
      <c r="D10" s="30">
        <f>'Відповіді форми (1)'!D10-1</f>
        <v>3</v>
      </c>
      <c r="E10" s="30">
        <f>5-'Відповіді форми (1)'!E10</f>
        <v>3</v>
      </c>
      <c r="F10" s="30">
        <f>'Відповіді форми (1)'!F10-1</f>
        <v>4</v>
      </c>
      <c r="G10" s="30">
        <f>5-'Відповіді форми (1)'!G10</f>
        <v>4</v>
      </c>
      <c r="H10" s="30">
        <f>'Відповіді форми (1)'!H10-1</f>
        <v>3</v>
      </c>
      <c r="I10" s="30">
        <f>5-'Відповіді форми (1)'!I10</f>
        <v>3</v>
      </c>
      <c r="J10" s="30">
        <f>'Відповіді форми (1)'!J10-1</f>
        <v>3</v>
      </c>
      <c r="K10" s="30">
        <f>5-'Відповіді форми (1)'!K10</f>
        <v>4</v>
      </c>
      <c r="L10" s="31">
        <f t="shared" si="1"/>
        <v>82.5</v>
      </c>
      <c r="M10" s="24">
        <f t="shared" si="2"/>
        <v>0.0625</v>
      </c>
    </row>
    <row r="11">
      <c r="A11" s="32" t="s">
        <v>38</v>
      </c>
      <c r="B11" s="33">
        <f>'Відповіді форми (1)'!B11-1</f>
        <v>2</v>
      </c>
      <c r="C11" s="33">
        <f>5-'Відповіді форми (1)'!C11</f>
        <v>3</v>
      </c>
      <c r="D11" s="33">
        <f>'Відповіді форми (1)'!D11-1</f>
        <v>3</v>
      </c>
      <c r="E11" s="33">
        <f>5-'Відповіді форми (1)'!E11</f>
        <v>4</v>
      </c>
      <c r="F11" s="33">
        <f>'Відповіді форми (1)'!F11-1</f>
        <v>3</v>
      </c>
      <c r="G11" s="33">
        <f>5-'Відповіді форми (1)'!G11</f>
        <v>4</v>
      </c>
      <c r="H11" s="33">
        <f>'Відповіді форми (1)'!H11-1</f>
        <v>3</v>
      </c>
      <c r="I11" s="33">
        <f>5-'Відповіді форми (1)'!I11</f>
        <v>4</v>
      </c>
      <c r="J11" s="33">
        <f>'Відповіді форми (1)'!J11-1</f>
        <v>2</v>
      </c>
      <c r="K11" s="33">
        <f>5-'Відповіді форми (1)'!K11</f>
        <v>4</v>
      </c>
      <c r="L11" s="34">
        <f t="shared" si="1"/>
        <v>80</v>
      </c>
      <c r="M11" s="35">
        <f t="shared" si="2"/>
        <v>7.5625</v>
      </c>
    </row>
    <row r="13">
      <c r="B13" s="36" t="s">
        <v>39</v>
      </c>
      <c r="C13" s="37">
        <f>SUM(L2:L11)/10</f>
        <v>82.75</v>
      </c>
    </row>
    <row r="14">
      <c r="B14" s="38" t="s">
        <v>40</v>
      </c>
      <c r="C14" s="39">
        <f>SQRT(SUM(Таблиця1[Standart Deviation Calculation])/9)</f>
        <v>8.28737326</v>
      </c>
    </row>
  </sheetData>
  <dataValidations>
    <dataValidation type="custom" allowBlank="1" showDropDown="1" sqref="B2:L11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